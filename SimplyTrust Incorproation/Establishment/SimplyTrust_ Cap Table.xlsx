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ber Docs" sheetId="1" r:id="rId5"/>
    <sheet state="visible" name="Cap Tabl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tc={65c8db8f-2213-4527-a08e-a26afb87e279}</author>
  </authors>
  <commentList>
    <comment authorId="0" xr:uid="{65c8db8f-2213-4527-a08e-a26afb87e279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@seanmcquillan9@gmail.com think i got this fixed up!
Assigned to seanmcquillan9@gmail.com
</t>
      </text>
    </comment>
  </commentList>
</comments>
</file>

<file path=xl/sharedStrings.xml><?xml version="1.0" encoding="utf-8"?>
<sst xmlns="http://schemas.openxmlformats.org/spreadsheetml/2006/main" count="64" uniqueCount="45">
  <si>
    <t>Address</t>
  </si>
  <si>
    <t>Telephone</t>
  </si>
  <si>
    <t>Email</t>
  </si>
  <si>
    <t>Percentage</t>
  </si>
  <si>
    <t>Subscribed Shares</t>
  </si>
  <si>
    <t>Phillip Matthew Reyland</t>
  </si>
  <si>
    <t>245 Dekalb Avenue, 
#3 
Brooklyn NY 11205</t>
  </si>
  <si>
    <t>(917) 657-$994</t>
  </si>
  <si>
    <t>phillip@reyland.com</t>
  </si>
  <si>
    <t>Bridget Williams</t>
  </si>
  <si>
    <t>33 Lancaster Ave, Buffalo NY 14222</t>
  </si>
  <si>
    <t>(716) 310-9872‬</t>
  </si>
  <si>
    <t>williams.bridget@gmail.com</t>
  </si>
  <si>
    <t>Pratik Shekhar</t>
  </si>
  <si>
    <t>1125 W Newport Ave 
Unit L
Chicago, IL 60657.</t>
  </si>
  <si>
    <t>(203) 809-3103‬</t>
  </si>
  <si>
    <t>pratikshekhar26@gmail.com</t>
  </si>
  <si>
    <t>Offer Amount</t>
  </si>
  <si>
    <t>Funding Scenarios - Ownership %</t>
  </si>
  <si>
    <t>Equity Valuation After Raise</t>
  </si>
  <si>
    <t>Exit Scenarios - Payouts</t>
  </si>
  <si>
    <t>Founding</t>
  </si>
  <si>
    <t>Pre-Seed</t>
  </si>
  <si>
    <t>Seed</t>
  </si>
  <si>
    <t>Series A</t>
  </si>
  <si>
    <t>Series B</t>
  </si>
  <si>
    <t>Series C</t>
  </si>
  <si>
    <t>Deal Info</t>
  </si>
  <si>
    <t>Pre-Money Valuation</t>
  </si>
  <si>
    <t>% Purchased</t>
  </si>
  <si>
    <t>Cash Raised</t>
  </si>
  <si>
    <t>Post-Money Valuation</t>
  </si>
  <si>
    <t>Repayment Multiplier</t>
  </si>
  <si>
    <t>Stage Minimum Repayment</t>
  </si>
  <si>
    <t>Total Minimum Repayment</t>
  </si>
  <si>
    <t>Line by Line Cap Table</t>
  </si>
  <si>
    <t>FTEs</t>
  </si>
  <si>
    <t>Phillip Reyland</t>
  </si>
  <si>
    <t>Engineer 1</t>
  </si>
  <si>
    <t>Total</t>
  </si>
  <si>
    <t>Employee Options Pools</t>
  </si>
  <si>
    <t>Pool size</t>
  </si>
  <si>
    <t>Investors</t>
  </si>
  <si>
    <t>Advisors</t>
  </si>
  <si>
    <t>Checks!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</si>
</sst>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#,##0.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rgb="FF0000FF"/>
      <name val="Arial"/>
      <scheme val="minor"/>
    </font>
    <font>
      <color rgb="FF0000FF"/>
      <name val="Arial"/>
    </font>
    <font>
      <b/>
      <color rgb="FF000000"/>
      <name val="Arial"/>
    </font>
    <font>
      <i/>
      <color theme="1"/>
      <name val="Arial"/>
      <scheme val="minor"/>
    </font>
    <font>
      <color rgb="FF000000"/>
      <name val="Arial"/>
    </font>
    <font>
      <i/>
      <color theme="1"/>
      <name val="Arial"/>
    </font>
    <font>
      <i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5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1" fillId="0" fontId="1" numFmtId="0" xfId="0" applyBorder="1" applyFont="1"/>
    <xf borderId="1" fillId="0" fontId="1" numFmtId="9" xfId="0" applyBorder="1" applyFont="1" applyNumberFormat="1"/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horizontal="center" readingOrder="0"/>
    </xf>
    <xf borderId="3" fillId="3" fontId="3" numFmtId="0" xfId="0" applyAlignment="1" applyBorder="1" applyFill="1" applyFont="1">
      <alignment readingOrder="0"/>
    </xf>
    <xf borderId="3" fillId="3" fontId="3" numFmtId="0" xfId="0" applyBorder="1" applyFont="1"/>
    <xf borderId="0" fillId="3" fontId="3" numFmtId="0" xfId="0" applyFont="1"/>
    <xf borderId="0" fillId="0" fontId="3" numFmtId="0" xfId="0" applyFont="1"/>
    <xf borderId="3" fillId="3" fontId="4" numFmtId="0" xfId="0" applyAlignment="1" applyBorder="1" applyFont="1">
      <alignment readingOrder="0" vertical="bottom"/>
    </xf>
    <xf borderId="3" fillId="3" fontId="1" numFmtId="0" xfId="0" applyBorder="1" applyFont="1"/>
    <xf borderId="4" fillId="2" fontId="5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 vertical="bottom"/>
    </xf>
    <xf borderId="0" fillId="4" fontId="4" numFmtId="0" xfId="0" applyAlignment="1" applyFill="1" applyFont="1">
      <alignment readingOrder="0" vertical="bottom"/>
    </xf>
    <xf borderId="0" fillId="4" fontId="2" numFmtId="164" xfId="0" applyAlignment="1" applyFont="1" applyNumberFormat="1">
      <alignment horizontal="right" readingOrder="0" vertical="bottom"/>
    </xf>
    <xf borderId="0" fillId="4" fontId="6" numFmtId="164" xfId="0" applyAlignment="1" applyFont="1" applyNumberFormat="1">
      <alignment horizontal="right" readingOrder="0" vertical="bottom"/>
    </xf>
    <xf borderId="0" fillId="4" fontId="2" numFmtId="0" xfId="0" applyAlignment="1" applyFont="1">
      <alignment vertical="bottom"/>
    </xf>
    <xf borderId="0" fillId="4" fontId="1" numFmtId="0" xfId="0" applyFont="1"/>
    <xf borderId="0" fillId="5" fontId="2" numFmtId="0" xfId="0" applyAlignment="1" applyFill="1" applyFont="1">
      <alignment readingOrder="0" vertical="bottom"/>
    </xf>
    <xf borderId="0" fillId="5" fontId="2" numFmtId="9" xfId="0" applyAlignment="1" applyFont="1" applyNumberFormat="1">
      <alignment horizontal="right" readingOrder="0" vertical="bottom"/>
    </xf>
    <xf borderId="0" fillId="5" fontId="6" numFmtId="9" xfId="0" applyAlignment="1" applyFont="1" applyNumberFormat="1">
      <alignment horizontal="right" readingOrder="0" vertical="bottom"/>
    </xf>
    <xf borderId="0" fillId="5" fontId="2" numFmtId="164" xfId="0" applyAlignment="1" applyFont="1" applyNumberFormat="1">
      <alignment horizontal="right" readingOrder="0" vertical="bottom"/>
    </xf>
    <xf borderId="0" fillId="5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horizontal="right" vertical="bottom"/>
    </xf>
    <xf borderId="0" fillId="6" fontId="4" numFmtId="0" xfId="0" applyAlignment="1" applyFill="1" applyFont="1">
      <alignment readingOrder="0" vertical="bottom"/>
    </xf>
    <xf borderId="0" fillId="6" fontId="2" numFmtId="0" xfId="0" applyAlignment="1" applyFont="1">
      <alignment vertical="bottom"/>
    </xf>
    <xf borderId="0" fillId="6" fontId="1" numFmtId="0" xfId="0" applyFont="1"/>
    <xf borderId="0" fillId="4" fontId="1" numFmtId="164" xfId="0" applyFont="1" applyNumberFormat="1"/>
    <xf borderId="0" fillId="4" fontId="1" numFmtId="164" xfId="0" applyFont="1" applyNumberFormat="1"/>
    <xf borderId="0" fillId="0" fontId="6" numFmtId="10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164" xfId="0" applyFont="1" applyNumberFormat="1"/>
    <xf borderId="0" fillId="0" fontId="6" numFmtId="9" xfId="0" applyAlignment="1" applyFont="1" applyNumberForma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1" fillId="0" fontId="7" numFmtId="10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7" numFmtId="164" xfId="0" applyAlignment="1" applyBorder="1" applyFont="1" applyNumberFormat="1">
      <alignment horizontal="right" readingOrder="0" vertical="bottom"/>
    </xf>
    <xf borderId="0" fillId="0" fontId="8" numFmtId="10" xfId="0" applyFont="1" applyNumberFormat="1"/>
    <xf borderId="0" fillId="4" fontId="6" numFmtId="10" xfId="0" applyAlignment="1" applyFont="1" applyNumberFormat="1">
      <alignment horizontal="right" readingOrder="0" vertical="bottom"/>
    </xf>
    <xf borderId="0" fillId="4" fontId="2" numFmtId="10" xfId="0" applyAlignment="1" applyFont="1" applyNumberFormat="1">
      <alignment horizontal="right" vertical="bottom"/>
    </xf>
    <xf borderId="0" fillId="4" fontId="2" numFmtId="164" xfId="0" applyAlignment="1" applyFont="1" applyNumberFormat="1">
      <alignment horizontal="right" vertical="bottom"/>
    </xf>
    <xf borderId="0" fillId="0" fontId="9" numFmtId="10" xfId="0" applyAlignment="1" applyFont="1" applyNumberFormat="1">
      <alignment horizontal="right" readingOrder="0" vertical="bottom"/>
    </xf>
    <xf borderId="1" fillId="0" fontId="1" numFmtId="164" xfId="0" applyBorder="1" applyFont="1" applyNumberFormat="1"/>
    <xf borderId="0" fillId="4" fontId="4" numFmtId="0" xfId="0" applyAlignment="1" applyFont="1">
      <alignment vertical="bottom"/>
    </xf>
    <xf borderId="0" fillId="0" fontId="7" numFmtId="10" xfId="0" applyAlignment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 vertical="bottom"/>
    </xf>
    <xf borderId="0" fillId="3" fontId="7" numFmtId="10" xfId="0" applyAlignment="1" applyFont="1" applyNumberFormat="1">
      <alignment horizontal="right" readingOrder="0" vertical="bottom"/>
    </xf>
    <xf borderId="0" fillId="3" fontId="2" numFmtId="0" xfId="0" applyAlignment="1" applyFont="1">
      <alignment vertical="bottom"/>
    </xf>
    <xf borderId="0" fillId="3" fontId="7" numFmtId="164" xfId="0" applyAlignment="1" applyFont="1" applyNumberFormat="1">
      <alignment horizontal="right" readingOrder="0" vertical="bottom"/>
    </xf>
    <xf borderId="0" fillId="3" fontId="1" numFmtId="0" xfId="0" applyFont="1"/>
    <xf borderId="0" fillId="0" fontId="8" numFmtId="0" xfId="0" applyFont="1"/>
    <xf borderId="0" fillId="0" fontId="10" numFmtId="0" xfId="0" applyAlignment="1" applyFont="1">
      <alignment readingOrder="0" vertical="bottom"/>
    </xf>
    <xf borderId="0" fillId="0" fontId="11" numFmtId="10" xfId="0" applyAlignment="1" applyFont="1" applyNumberFormat="1">
      <alignment horizontal="right" readingOrder="0" vertical="bottom"/>
    </xf>
    <xf borderId="0" fillId="0" fontId="10" numFmtId="10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2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>
  <Task id="{576f853b-edf1-470c-92a2-6ab22df49200}">
    <Anchor>
      <Comment id="{65c8db8f-2213-4527-a08e-a26afb87e279}"/>
    </Anchor>
    <History>
      <Event time="2024-08-11T18:34:23.00" id="{cc6d5b18-875b-4fff-9a82-f2ab44d03c22}">
        <Attribution userId="placeholder@email.com" userName="Phillip Reyland" userProvider="google-sheets"/>
        <Anchor>
          <Comment id="{65c8db8f-2213-4527-a08e-a26afb87e279}"/>
        </Anchor>
        <Create/>
      </Event>
      <Event time="2024-08-11T18:34:23.00" id="{384fb223-0ef6-4691-adb2-89dac292954e}">
        <Attribution userId="placeholder@email.com" userName="Phillip Reyland" userProvider="google-sheets"/>
        <Anchor>
          <Comment id="{65c8db8f-2213-4527-a08e-a26afb87e279}"/>
        </Anchor>
        <Assign userId="seanmcquillan9@gmail.com" userName="seanmcquillan9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hillip Reyland" id="{33a143e4-7b6b-4d0b-ac95-0b916b599f3c}" providerId="google-sheets"/>
  <x18tc:person displayName="seanmcquillan9@gmail.com" id="{66b0ff6a-88ec-4418-8f57-037f3026a3f0}" userId="seanmcquillan9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4-08-11T18:34:23.00" personId="{33a143e4-7b6b-4d0b-ac95-0b916b599f3c}" id="{65c8db8f-2213-4527-a08e-a26afb87e279}" done="1">
    <x18tc:text xml:space="preserve">@seanmcquillan9@gmail.com think i got this fixed up!
Assigned to seanmcquillan9@gmail.com</x18tc:text>
    <x18tc:mentions>
      <x18tc:mention mentionpersonId="{66b0ff6a-88ec-4418-8f57-037f3026a3f0}" mentionId="{41573633-4591-4ba1-90d5-5bc42aa7bfde}" startIndex="0" length="2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1.25"/>
    <col customWidth="1" min="3" max="3" width="16.13"/>
    <col customWidth="1" min="4" max="4" width="17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0.45</v>
      </c>
      <c r="F2" s="3">
        <f t="shared" ref="F2:F4" si="1">E2*5000</f>
        <v>2250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2">
        <v>0.2</v>
      </c>
      <c r="F3" s="3">
        <f t="shared" si="1"/>
        <v>1000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2">
        <v>0.2</v>
      </c>
      <c r="F4" s="3">
        <f t="shared" si="1"/>
        <v>1000</v>
      </c>
    </row>
    <row r="5">
      <c r="A5" s="4"/>
      <c r="B5" s="4"/>
      <c r="C5" s="4"/>
      <c r="D5" s="4"/>
      <c r="E5" s="5">
        <f t="shared" ref="E5:F5" si="2">SUM(E2:E4)</f>
        <v>0.85</v>
      </c>
      <c r="F5" s="4">
        <f t="shared" si="2"/>
        <v>4250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 outlineLevelRow="1"/>
  <cols>
    <col customWidth="1" min="1" max="1" width="4.88"/>
    <col customWidth="1" min="2" max="2" width="25.63"/>
    <col customWidth="1" min="3" max="3" width="2.38"/>
    <col customWidth="1" min="4" max="4" width="10.75"/>
    <col customWidth="1" min="10" max="10" width="2.63"/>
    <col customWidth="1" min="16" max="16" width="3.38"/>
    <col customWidth="1" min="17" max="21" width="13.25"/>
  </cols>
  <sheetData>
    <row r="1">
      <c r="C1" s="1"/>
      <c r="D1" s="1"/>
      <c r="K1" s="6"/>
    </row>
    <row r="2">
      <c r="B2" s="7" t="s">
        <v>17</v>
      </c>
      <c r="C2" s="1"/>
      <c r="D2" s="8" t="s">
        <v>18</v>
      </c>
      <c r="E2" s="9"/>
      <c r="F2" s="9"/>
      <c r="G2" s="9"/>
      <c r="H2" s="10"/>
      <c r="I2" s="10"/>
      <c r="J2" s="11"/>
      <c r="K2" s="12" t="s">
        <v>19</v>
      </c>
      <c r="L2" s="9"/>
      <c r="M2" s="9"/>
      <c r="N2" s="10"/>
      <c r="O2" s="10"/>
      <c r="P2" s="11"/>
      <c r="Q2" s="8" t="s">
        <v>20</v>
      </c>
      <c r="R2" s="9"/>
      <c r="S2" s="13"/>
      <c r="T2" s="13"/>
      <c r="U2" s="13"/>
    </row>
    <row r="3">
      <c r="B3" s="14">
        <f>30000000</f>
        <v>30000000</v>
      </c>
      <c r="C3" s="15"/>
      <c r="D3" s="15" t="s">
        <v>21</v>
      </c>
      <c r="E3" s="15" t="s">
        <v>22</v>
      </c>
      <c r="F3" s="15" t="s">
        <v>23</v>
      </c>
      <c r="G3" s="16" t="s">
        <v>24</v>
      </c>
      <c r="H3" s="16" t="s">
        <v>25</v>
      </c>
      <c r="I3" s="16" t="s">
        <v>26</v>
      </c>
      <c r="J3" s="6"/>
      <c r="K3" s="15" t="s">
        <v>22</v>
      </c>
      <c r="L3" s="15" t="s">
        <v>23</v>
      </c>
      <c r="M3" s="17" t="s">
        <v>24</v>
      </c>
      <c r="N3" s="17" t="s">
        <v>25</v>
      </c>
      <c r="O3" s="17" t="s">
        <v>26</v>
      </c>
      <c r="Q3" s="15" t="s">
        <v>22</v>
      </c>
      <c r="R3" s="15" t="s">
        <v>23</v>
      </c>
      <c r="S3" s="16" t="s">
        <v>24</v>
      </c>
      <c r="T3" s="16" t="s">
        <v>25</v>
      </c>
      <c r="U3" s="16" t="s">
        <v>26</v>
      </c>
    </row>
    <row r="4">
      <c r="B4" s="18"/>
      <c r="C4" s="19"/>
      <c r="D4" s="19"/>
      <c r="E4" s="20"/>
      <c r="F4" s="20"/>
      <c r="G4" s="20"/>
      <c r="H4" s="20"/>
      <c r="I4" s="20"/>
      <c r="J4" s="6"/>
      <c r="K4" s="6"/>
      <c r="L4" s="6"/>
    </row>
    <row r="5">
      <c r="B5" s="21" t="s">
        <v>27</v>
      </c>
      <c r="C5" s="22"/>
      <c r="D5" s="22"/>
      <c r="E5" s="23"/>
      <c r="F5" s="23"/>
      <c r="G5" s="23"/>
      <c r="H5" s="23"/>
      <c r="I5" s="23"/>
      <c r="J5" s="24"/>
      <c r="K5" s="24"/>
      <c r="L5" s="24"/>
      <c r="M5" s="25"/>
      <c r="N5" s="25"/>
      <c r="O5" s="25"/>
      <c r="P5" s="25"/>
      <c r="Q5" s="25"/>
      <c r="R5" s="25"/>
      <c r="S5" s="25"/>
      <c r="T5" s="25"/>
      <c r="U5" s="25"/>
    </row>
    <row r="6">
      <c r="B6" s="18" t="s">
        <v>28</v>
      </c>
      <c r="C6" s="19"/>
      <c r="D6" s="19"/>
      <c r="E6" s="20">
        <v>8000000.0</v>
      </c>
      <c r="F6" s="20">
        <v>1.9E7</v>
      </c>
      <c r="G6" s="20">
        <v>5.0E7</v>
      </c>
      <c r="H6" s="20">
        <v>2.0E8</v>
      </c>
      <c r="I6" s="20">
        <v>6.0E8</v>
      </c>
      <c r="J6" s="6"/>
      <c r="K6" s="6"/>
      <c r="L6" s="6"/>
    </row>
    <row r="7">
      <c r="B7" s="26" t="s">
        <v>29</v>
      </c>
      <c r="C7" s="27"/>
      <c r="D7" s="27"/>
      <c r="E7" s="28">
        <v>0.25</v>
      </c>
      <c r="F7" s="28">
        <v>0.2</v>
      </c>
      <c r="G7" s="28">
        <v>0.2</v>
      </c>
      <c r="H7" s="28">
        <v>0.15</v>
      </c>
      <c r="I7" s="28">
        <v>0.12</v>
      </c>
      <c r="J7" s="6"/>
      <c r="K7" s="6"/>
      <c r="L7" s="6"/>
    </row>
    <row r="8">
      <c r="B8" s="26" t="s">
        <v>30</v>
      </c>
      <c r="C8" s="29"/>
      <c r="D8" s="29"/>
      <c r="E8" s="30">
        <f t="shared" ref="E8:I8" si="1">sum(E6*E7)</f>
        <v>2000000</v>
      </c>
      <c r="F8" s="30">
        <f t="shared" si="1"/>
        <v>3800000</v>
      </c>
      <c r="G8" s="30">
        <f t="shared" si="1"/>
        <v>10000000</v>
      </c>
      <c r="H8" s="30">
        <f t="shared" si="1"/>
        <v>30000000</v>
      </c>
      <c r="I8" s="30">
        <f t="shared" si="1"/>
        <v>72000000</v>
      </c>
      <c r="J8" s="6"/>
      <c r="K8" s="6"/>
      <c r="L8" s="6"/>
    </row>
    <row r="9">
      <c r="B9" s="18" t="s">
        <v>31</v>
      </c>
      <c r="C9" s="31"/>
      <c r="D9" s="31"/>
      <c r="E9" s="32">
        <f t="shared" ref="E9:I9" si="2">sum(E6,E8)</f>
        <v>10000000</v>
      </c>
      <c r="F9" s="32">
        <f t="shared" si="2"/>
        <v>22800000</v>
      </c>
      <c r="G9" s="32">
        <f t="shared" si="2"/>
        <v>60000000</v>
      </c>
      <c r="H9" s="32">
        <f t="shared" si="2"/>
        <v>230000000</v>
      </c>
      <c r="I9" s="32">
        <f t="shared" si="2"/>
        <v>672000000</v>
      </c>
      <c r="J9" s="6"/>
      <c r="K9" s="6"/>
      <c r="L9" s="6"/>
      <c r="M9" s="6"/>
      <c r="N9" s="6"/>
      <c r="O9" s="6"/>
    </row>
    <row r="10" outlineLevel="1">
      <c r="B10" s="1" t="s">
        <v>32</v>
      </c>
      <c r="C10" s="31"/>
      <c r="D10" s="31"/>
      <c r="E10" s="33">
        <v>2.0</v>
      </c>
      <c r="F10" s="33">
        <v>2.0</v>
      </c>
      <c r="G10" s="33">
        <v>2.0</v>
      </c>
      <c r="H10" s="33">
        <v>2.0</v>
      </c>
      <c r="I10" s="34">
        <v>2.0</v>
      </c>
      <c r="J10" s="6"/>
      <c r="K10" s="6"/>
      <c r="L10" s="6"/>
    </row>
    <row r="11" outlineLevel="1">
      <c r="B11" s="1" t="s">
        <v>33</v>
      </c>
      <c r="C11" s="31"/>
      <c r="D11" s="31"/>
      <c r="E11" s="32">
        <f t="shared" ref="E11:I11" si="3">E8*E10</f>
        <v>4000000</v>
      </c>
      <c r="F11" s="32">
        <f t="shared" si="3"/>
        <v>7600000</v>
      </c>
      <c r="G11" s="32">
        <f t="shared" si="3"/>
        <v>20000000</v>
      </c>
      <c r="H11" s="32">
        <f t="shared" si="3"/>
        <v>60000000</v>
      </c>
      <c r="I11" s="32">
        <f t="shared" si="3"/>
        <v>144000000</v>
      </c>
      <c r="J11" s="6"/>
      <c r="K11" s="6"/>
      <c r="L11" s="6"/>
    </row>
    <row r="12">
      <c r="B12" s="18" t="s">
        <v>34</v>
      </c>
      <c r="C12" s="31"/>
      <c r="D12" s="31"/>
      <c r="E12" s="32">
        <f>E11</f>
        <v>4000000</v>
      </c>
      <c r="F12" s="32">
        <f>F11+E12</f>
        <v>11600000</v>
      </c>
      <c r="G12" s="32">
        <f t="shared" ref="G12:I12" si="4">F12+G11</f>
        <v>31600000</v>
      </c>
      <c r="H12" s="32">
        <f t="shared" si="4"/>
        <v>91600000</v>
      </c>
      <c r="I12" s="32">
        <f t="shared" si="4"/>
        <v>235600000</v>
      </c>
      <c r="J12" s="6"/>
      <c r="K12" s="6"/>
      <c r="L12" s="6"/>
    </row>
    <row r="13">
      <c r="B13" s="6"/>
      <c r="C13" s="31"/>
      <c r="D13" s="31"/>
      <c r="E13" s="32"/>
      <c r="F13" s="32"/>
      <c r="G13" s="32"/>
      <c r="H13" s="32"/>
      <c r="I13" s="32"/>
      <c r="J13" s="6"/>
      <c r="K13" s="6"/>
      <c r="L13" s="6"/>
    </row>
    <row r="14">
      <c r="B14" s="35" t="s">
        <v>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</row>
    <row r="15">
      <c r="B15" s="1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>
      <c r="B16" s="21" t="s">
        <v>36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/>
      <c r="Q16" s="38"/>
      <c r="R16" s="39"/>
      <c r="S16" s="39"/>
      <c r="T16" s="39"/>
      <c r="U16" s="39"/>
    </row>
    <row r="17">
      <c r="B17" s="6" t="s">
        <v>37</v>
      </c>
      <c r="C17" s="40"/>
      <c r="D17" s="40">
        <v>0.45</v>
      </c>
      <c r="E17" s="41">
        <f t="shared" ref="E17:I17" si="5">D17*(1-E$7)</f>
        <v>0.3375</v>
      </c>
      <c r="F17" s="41">
        <f t="shared" si="5"/>
        <v>0.27</v>
      </c>
      <c r="G17" s="41">
        <f t="shared" si="5"/>
        <v>0.216</v>
      </c>
      <c r="H17" s="41">
        <f t="shared" si="5"/>
        <v>0.1836</v>
      </c>
      <c r="I17" s="41">
        <f t="shared" si="5"/>
        <v>0.161568</v>
      </c>
      <c r="J17" s="6"/>
      <c r="K17" s="42">
        <f t="shared" ref="K17:O17" si="6">E17*E$9</f>
        <v>3375000</v>
      </c>
      <c r="L17" s="42">
        <f t="shared" si="6"/>
        <v>6156000</v>
      </c>
      <c r="M17" s="42">
        <f t="shared" si="6"/>
        <v>12960000</v>
      </c>
      <c r="N17" s="42">
        <f t="shared" si="6"/>
        <v>42228000</v>
      </c>
      <c r="O17" s="42">
        <f t="shared" si="6"/>
        <v>108573696</v>
      </c>
      <c r="Q17" s="43">
        <f t="shared" ref="Q17:Q20" si="10">($B$3-$E$12)*E17</f>
        <v>8775000</v>
      </c>
      <c r="R17" s="43">
        <f t="shared" ref="R17:R20" si="11">($B$3-$F$12)*F17</f>
        <v>4968000</v>
      </c>
      <c r="S17" s="43">
        <f t="shared" ref="S17:U17" si="7">($B$3-G$12)*G17</f>
        <v>-345600</v>
      </c>
      <c r="T17" s="43">
        <f t="shared" si="7"/>
        <v>-11309760</v>
      </c>
      <c r="U17" s="43">
        <f t="shared" si="7"/>
        <v>-33218380.8</v>
      </c>
    </row>
    <row r="18">
      <c r="B18" s="6" t="s">
        <v>9</v>
      </c>
      <c r="C18" s="40"/>
      <c r="D18" s="40">
        <v>0.2</v>
      </c>
      <c r="E18" s="41">
        <f t="shared" ref="E18:I18" si="8">D18*(1-E$7)</f>
        <v>0.15</v>
      </c>
      <c r="F18" s="41">
        <f t="shared" si="8"/>
        <v>0.12</v>
      </c>
      <c r="G18" s="41">
        <f t="shared" si="8"/>
        <v>0.096</v>
      </c>
      <c r="H18" s="41">
        <f t="shared" si="8"/>
        <v>0.0816</v>
      </c>
      <c r="I18" s="41">
        <f t="shared" si="8"/>
        <v>0.071808</v>
      </c>
      <c r="J18" s="6"/>
      <c r="K18" s="42">
        <f t="shared" ref="K18:O18" si="9">E18*E$9</f>
        <v>1500000</v>
      </c>
      <c r="L18" s="42">
        <f t="shared" si="9"/>
        <v>2736000</v>
      </c>
      <c r="M18" s="42">
        <f t="shared" si="9"/>
        <v>5760000</v>
      </c>
      <c r="N18" s="42">
        <f t="shared" si="9"/>
        <v>18768000</v>
      </c>
      <c r="O18" s="42">
        <f t="shared" si="9"/>
        <v>48254976</v>
      </c>
      <c r="Q18" s="43">
        <f t="shared" si="10"/>
        <v>3900000</v>
      </c>
      <c r="R18" s="43">
        <f t="shared" si="11"/>
        <v>2208000</v>
      </c>
      <c r="S18" s="43">
        <f t="shared" ref="S18:U18" si="12">($B$3-G$12)*G18</f>
        <v>-153600</v>
      </c>
      <c r="T18" s="43">
        <f t="shared" si="12"/>
        <v>-5026560</v>
      </c>
      <c r="U18" s="43">
        <f t="shared" si="12"/>
        <v>-14763724.8</v>
      </c>
    </row>
    <row r="19">
      <c r="B19" s="6" t="s">
        <v>13</v>
      </c>
      <c r="C19" s="40"/>
      <c r="D19" s="40">
        <v>0.2</v>
      </c>
      <c r="E19" s="41">
        <f t="shared" ref="E19:I19" si="13">D19*(1-E$7)</f>
        <v>0.15</v>
      </c>
      <c r="F19" s="41">
        <f t="shared" si="13"/>
        <v>0.12</v>
      </c>
      <c r="G19" s="41">
        <f t="shared" si="13"/>
        <v>0.096</v>
      </c>
      <c r="H19" s="41">
        <f t="shared" si="13"/>
        <v>0.0816</v>
      </c>
      <c r="I19" s="41">
        <f t="shared" si="13"/>
        <v>0.071808</v>
      </c>
      <c r="J19" s="6"/>
      <c r="K19" s="42">
        <f t="shared" ref="K19:O19" si="14">E19*E$9</f>
        <v>1500000</v>
      </c>
      <c r="L19" s="42">
        <f t="shared" si="14"/>
        <v>2736000</v>
      </c>
      <c r="M19" s="42">
        <f t="shared" si="14"/>
        <v>5760000</v>
      </c>
      <c r="N19" s="42">
        <f t="shared" si="14"/>
        <v>18768000</v>
      </c>
      <c r="O19" s="42">
        <f t="shared" si="14"/>
        <v>48254976</v>
      </c>
      <c r="Q19" s="43">
        <f t="shared" si="10"/>
        <v>3900000</v>
      </c>
      <c r="R19" s="43">
        <f t="shared" si="11"/>
        <v>2208000</v>
      </c>
      <c r="S19" s="43">
        <f t="shared" ref="S19:U19" si="15">($B$3-G$12)*G19</f>
        <v>-153600</v>
      </c>
      <c r="T19" s="43">
        <f t="shared" si="15"/>
        <v>-5026560</v>
      </c>
      <c r="U19" s="43">
        <f t="shared" si="15"/>
        <v>-14763724.8</v>
      </c>
    </row>
    <row r="20">
      <c r="B20" s="18" t="s">
        <v>38</v>
      </c>
      <c r="C20" s="40"/>
      <c r="D20" s="44">
        <v>0.0</v>
      </c>
      <c r="E20" s="41">
        <f t="shared" ref="E20:I20" si="16">D20*(1-E$7)</f>
        <v>0</v>
      </c>
      <c r="F20" s="41">
        <f t="shared" si="16"/>
        <v>0</v>
      </c>
      <c r="G20" s="41">
        <f t="shared" si="16"/>
        <v>0</v>
      </c>
      <c r="H20" s="41">
        <f t="shared" si="16"/>
        <v>0</v>
      </c>
      <c r="I20" s="41">
        <f t="shared" si="16"/>
        <v>0</v>
      </c>
      <c r="J20" s="6"/>
      <c r="K20" s="42">
        <f t="shared" ref="K20:O20" si="17">E20*E$9</f>
        <v>0</v>
      </c>
      <c r="L20" s="42">
        <f t="shared" si="17"/>
        <v>0</v>
      </c>
      <c r="M20" s="42">
        <f t="shared" si="17"/>
        <v>0</v>
      </c>
      <c r="N20" s="42">
        <f t="shared" si="17"/>
        <v>0</v>
      </c>
      <c r="O20" s="42">
        <f t="shared" si="17"/>
        <v>0</v>
      </c>
      <c r="Q20" s="43">
        <f t="shared" si="10"/>
        <v>0</v>
      </c>
      <c r="R20" s="43">
        <f t="shared" si="11"/>
        <v>0</v>
      </c>
      <c r="S20" s="43">
        <f t="shared" ref="S20:U20" si="18">($B$3-G$12)*G20</f>
        <v>0</v>
      </c>
      <c r="T20" s="43">
        <f t="shared" si="18"/>
        <v>0</v>
      </c>
      <c r="U20" s="43">
        <f t="shared" si="18"/>
        <v>0</v>
      </c>
    </row>
    <row r="21">
      <c r="B21" s="45" t="s">
        <v>39</v>
      </c>
      <c r="C21" s="46"/>
      <c r="D21" s="46">
        <f t="shared" ref="D21:I21" si="19">sum(D17:D20)</f>
        <v>0.85</v>
      </c>
      <c r="E21" s="46">
        <f t="shared" si="19"/>
        <v>0.6375</v>
      </c>
      <c r="F21" s="46">
        <f t="shared" si="19"/>
        <v>0.51</v>
      </c>
      <c r="G21" s="46">
        <f t="shared" si="19"/>
        <v>0.408</v>
      </c>
      <c r="H21" s="46">
        <f t="shared" si="19"/>
        <v>0.3468</v>
      </c>
      <c r="I21" s="46">
        <f t="shared" si="19"/>
        <v>0.305184</v>
      </c>
      <c r="J21" s="47"/>
      <c r="K21" s="48">
        <f t="shared" ref="K21:O21" si="20">sum(K17:K20)</f>
        <v>6375000</v>
      </c>
      <c r="L21" s="48">
        <f t="shared" si="20"/>
        <v>11628000</v>
      </c>
      <c r="M21" s="48">
        <f t="shared" si="20"/>
        <v>24480000</v>
      </c>
      <c r="N21" s="48">
        <f t="shared" si="20"/>
        <v>79764000</v>
      </c>
      <c r="O21" s="48">
        <f t="shared" si="20"/>
        <v>205083648</v>
      </c>
      <c r="P21" s="4"/>
      <c r="Q21" s="48">
        <f t="shared" ref="Q21:U21" si="21">sum(Q17:Q20)</f>
        <v>16575000</v>
      </c>
      <c r="R21" s="48">
        <f t="shared" si="21"/>
        <v>9384000</v>
      </c>
      <c r="S21" s="48">
        <f t="shared" si="21"/>
        <v>-652800</v>
      </c>
      <c r="T21" s="48">
        <f t="shared" si="21"/>
        <v>-21362880</v>
      </c>
      <c r="U21" s="48">
        <f t="shared" si="21"/>
        <v>-62745830.4</v>
      </c>
    </row>
    <row r="22">
      <c r="B22" s="16"/>
      <c r="C22" s="40"/>
      <c r="D22" s="40"/>
      <c r="E22" s="40"/>
      <c r="F22" s="40"/>
      <c r="G22" s="40"/>
      <c r="H22" s="40"/>
      <c r="I22" s="40"/>
      <c r="J22" s="6"/>
      <c r="K22" s="42"/>
      <c r="L22" s="42"/>
      <c r="M22" s="42"/>
      <c r="N22" s="42"/>
      <c r="O22" s="42"/>
      <c r="Q22" s="49">
        <f t="shared" ref="Q22:U22" si="22">Q21/$B$3</f>
        <v>0.5525</v>
      </c>
      <c r="R22" s="49">
        <f t="shared" si="22"/>
        <v>0.3128</v>
      </c>
      <c r="S22" s="49">
        <f t="shared" si="22"/>
        <v>-0.02176</v>
      </c>
      <c r="T22" s="49">
        <f t="shared" si="22"/>
        <v>-0.712096</v>
      </c>
      <c r="U22" s="49">
        <f t="shared" si="22"/>
        <v>-2.09152768</v>
      </c>
    </row>
    <row r="23">
      <c r="B23" s="16"/>
      <c r="C23" s="40"/>
      <c r="D23" s="40"/>
      <c r="E23" s="41"/>
      <c r="F23" s="41"/>
      <c r="G23" s="41"/>
      <c r="H23" s="41"/>
      <c r="I23" s="41"/>
      <c r="J23" s="6"/>
      <c r="K23" s="42"/>
      <c r="L23" s="42"/>
      <c r="M23" s="42"/>
      <c r="N23" s="42"/>
      <c r="O23" s="42"/>
    </row>
    <row r="24">
      <c r="B24" s="21" t="s">
        <v>40</v>
      </c>
      <c r="C24" s="50"/>
      <c r="D24" s="50"/>
      <c r="E24" s="51"/>
      <c r="F24" s="51"/>
      <c r="G24" s="51"/>
      <c r="H24" s="51"/>
      <c r="I24" s="51"/>
      <c r="J24" s="24"/>
      <c r="K24" s="52"/>
      <c r="L24" s="52"/>
      <c r="M24" s="52"/>
      <c r="N24" s="52"/>
      <c r="O24" s="52"/>
      <c r="P24" s="25"/>
      <c r="Q24" s="25"/>
      <c r="R24" s="25"/>
      <c r="S24" s="25"/>
      <c r="T24" s="25"/>
      <c r="U24" s="25"/>
    </row>
    <row r="25">
      <c r="B25" s="18" t="s">
        <v>41</v>
      </c>
      <c r="C25" s="40"/>
      <c r="D25" s="53">
        <f>sum(1-(D21+D38))</f>
        <v>0.15</v>
      </c>
      <c r="E25" s="41">
        <f>D25*(1-E$7)</f>
        <v>0.1125</v>
      </c>
      <c r="F25" s="41">
        <f>E25*(1-F7)</f>
        <v>0.09</v>
      </c>
      <c r="G25" s="41">
        <f>F25*(1-G31)</f>
        <v>0.072</v>
      </c>
      <c r="H25" s="41">
        <f t="shared" ref="H25:I25" si="23">G25*(1-H7)</f>
        <v>0.0612</v>
      </c>
      <c r="I25" s="41">
        <f t="shared" si="23"/>
        <v>0.053856</v>
      </c>
      <c r="J25" s="6"/>
      <c r="K25" s="42">
        <f t="shared" ref="K25:O25" si="24">E25*E$9</f>
        <v>1125000</v>
      </c>
      <c r="L25" s="42">
        <f t="shared" si="24"/>
        <v>2052000</v>
      </c>
      <c r="M25" s="42">
        <f t="shared" si="24"/>
        <v>4320000</v>
      </c>
      <c r="N25" s="42">
        <f t="shared" si="24"/>
        <v>14076000</v>
      </c>
      <c r="O25" s="42">
        <f t="shared" si="24"/>
        <v>36191232</v>
      </c>
      <c r="Q25" s="43">
        <f>($B$3-$E$12)*E25</f>
        <v>2925000</v>
      </c>
      <c r="R25" s="43">
        <f>($B$3-$F$12)*F25</f>
        <v>1656000</v>
      </c>
      <c r="S25" s="43">
        <f t="shared" ref="S25:U25" si="25">($B$3-G$12)*G25</f>
        <v>-115200</v>
      </c>
      <c r="T25" s="43">
        <f t="shared" si="25"/>
        <v>-3769920</v>
      </c>
      <c r="U25" s="43">
        <f t="shared" si="25"/>
        <v>-11072793.6</v>
      </c>
    </row>
    <row r="26">
      <c r="B26" s="16"/>
      <c r="C26" s="40"/>
      <c r="D26" s="40"/>
      <c r="E26" s="41"/>
      <c r="F26" s="41"/>
      <c r="G26" s="41"/>
      <c r="H26" s="41"/>
      <c r="I26" s="41"/>
      <c r="J26" s="6"/>
      <c r="K26" s="42"/>
      <c r="L26" s="42"/>
      <c r="M26" s="42"/>
      <c r="N26" s="42"/>
      <c r="O26" s="42"/>
      <c r="Q26" s="49">
        <f t="shared" ref="Q26:U26" si="26">Q25/$B$3</f>
        <v>0.0975</v>
      </c>
      <c r="R26" s="49">
        <f t="shared" si="26"/>
        <v>0.0552</v>
      </c>
      <c r="S26" s="49">
        <f t="shared" si="26"/>
        <v>-0.00384</v>
      </c>
      <c r="T26" s="49">
        <f t="shared" si="26"/>
        <v>-0.125664</v>
      </c>
      <c r="U26" s="49">
        <f t="shared" si="26"/>
        <v>-0.36909312</v>
      </c>
    </row>
    <row r="27">
      <c r="B27" s="16"/>
      <c r="C27" s="40"/>
      <c r="D27" s="40"/>
      <c r="E27" s="41"/>
      <c r="F27" s="41"/>
      <c r="G27" s="41"/>
      <c r="H27" s="41"/>
      <c r="I27" s="41"/>
      <c r="J27" s="6"/>
      <c r="K27" s="42"/>
      <c r="L27" s="42"/>
      <c r="M27" s="42"/>
      <c r="N27" s="42"/>
      <c r="O27" s="42"/>
    </row>
    <row r="28">
      <c r="B28" s="21" t="s">
        <v>42</v>
      </c>
      <c r="C28" s="50"/>
      <c r="D28" s="50"/>
      <c r="E28" s="51"/>
      <c r="F28" s="51"/>
      <c r="G28" s="51"/>
      <c r="H28" s="51"/>
      <c r="I28" s="51"/>
      <c r="J28" s="24"/>
      <c r="K28" s="52"/>
      <c r="L28" s="52"/>
      <c r="M28" s="52"/>
      <c r="N28" s="52"/>
      <c r="O28" s="52"/>
      <c r="P28" s="25"/>
      <c r="Q28" s="25"/>
      <c r="R28" s="25"/>
      <c r="S28" s="25"/>
      <c r="T28" s="25"/>
      <c r="U28" s="25"/>
    </row>
    <row r="29">
      <c r="B29" s="18" t="s">
        <v>22</v>
      </c>
      <c r="C29" s="40"/>
      <c r="D29" s="40"/>
      <c r="E29" s="41">
        <f>E7</f>
        <v>0.25</v>
      </c>
      <c r="F29" s="41">
        <f t="shared" ref="F29:I29" si="27">E29*(1-F7)</f>
        <v>0.2</v>
      </c>
      <c r="G29" s="41">
        <f t="shared" si="27"/>
        <v>0.16</v>
      </c>
      <c r="H29" s="41">
        <f t="shared" si="27"/>
        <v>0.136</v>
      </c>
      <c r="I29" s="41">
        <f t="shared" si="27"/>
        <v>0.11968</v>
      </c>
      <c r="J29" s="6"/>
      <c r="K29" s="42">
        <f t="shared" ref="K29:O29" si="28">E29*E$9</f>
        <v>2500000</v>
      </c>
      <c r="L29" s="42">
        <f t="shared" si="28"/>
        <v>4560000</v>
      </c>
      <c r="M29" s="42">
        <f t="shared" si="28"/>
        <v>9600000</v>
      </c>
      <c r="N29" s="42">
        <f t="shared" si="28"/>
        <v>31280000</v>
      </c>
      <c r="O29" s="42">
        <f t="shared" si="28"/>
        <v>80424960</v>
      </c>
      <c r="Q29" s="43">
        <f>(($B$3-E12)*E29)+$E$11</f>
        <v>10500000</v>
      </c>
      <c r="R29" s="43">
        <f>($B$3-$F$12)*F29+E11</f>
        <v>7680000</v>
      </c>
      <c r="S29" s="43">
        <f>($B$3-$G$12)*G29+E11</f>
        <v>3744000</v>
      </c>
      <c r="T29" s="43">
        <f>($B$3-$H$12)*H29+E11</f>
        <v>-4377600</v>
      </c>
      <c r="U29" s="43">
        <f>($B$3-$I$12)*I29+E11</f>
        <v>-20606208</v>
      </c>
    </row>
    <row r="30">
      <c r="B30" s="18" t="s">
        <v>23</v>
      </c>
      <c r="C30" s="40"/>
      <c r="D30" s="40"/>
      <c r="E30" s="41"/>
      <c r="F30" s="41">
        <f>F7</f>
        <v>0.2</v>
      </c>
      <c r="G30" s="41">
        <f t="shared" ref="G30:I30" si="29">F30*(1-G7)</f>
        <v>0.16</v>
      </c>
      <c r="H30" s="41">
        <f t="shared" si="29"/>
        <v>0.136</v>
      </c>
      <c r="I30" s="41">
        <f t="shared" si="29"/>
        <v>0.11968</v>
      </c>
      <c r="J30" s="6"/>
      <c r="K30" s="42"/>
      <c r="L30" s="42">
        <f t="shared" ref="L30:O30" si="30">F30*F$9</f>
        <v>4560000</v>
      </c>
      <c r="M30" s="42">
        <f t="shared" si="30"/>
        <v>9600000</v>
      </c>
      <c r="N30" s="42">
        <f t="shared" si="30"/>
        <v>31280000</v>
      </c>
      <c r="O30" s="42">
        <f t="shared" si="30"/>
        <v>80424960</v>
      </c>
      <c r="R30" s="43">
        <f>(($B$3-$F$12)*F30)+F11</f>
        <v>11280000</v>
      </c>
      <c r="S30" s="43">
        <f>($B$3-$G$12)*G30+F11</f>
        <v>7344000</v>
      </c>
      <c r="T30" s="43">
        <f>($B$3-$H$12)*H30+F11</f>
        <v>-777600</v>
      </c>
      <c r="U30" s="43">
        <f>($B$3-$I$12)*I30+F11</f>
        <v>-17006208</v>
      </c>
    </row>
    <row r="31">
      <c r="B31" s="18" t="s">
        <v>24</v>
      </c>
      <c r="C31" s="40"/>
      <c r="D31" s="40"/>
      <c r="E31" s="41"/>
      <c r="F31" s="41"/>
      <c r="G31" s="41">
        <f>G7</f>
        <v>0.2</v>
      </c>
      <c r="H31" s="41">
        <f t="shared" ref="H31:I31" si="31">G31*(1-H7)</f>
        <v>0.17</v>
      </c>
      <c r="I31" s="41">
        <f t="shared" si="31"/>
        <v>0.1496</v>
      </c>
      <c r="J31" s="6"/>
      <c r="K31" s="42"/>
      <c r="L31" s="42"/>
      <c r="M31" s="42">
        <f t="shared" ref="M31:O31" si="32">G31*G$9</f>
        <v>12000000</v>
      </c>
      <c r="N31" s="42">
        <f t="shared" si="32"/>
        <v>39100000</v>
      </c>
      <c r="O31" s="42">
        <f t="shared" si="32"/>
        <v>100531200</v>
      </c>
      <c r="S31" s="43">
        <f>(($B$3-$G$12)*G31)+G11</f>
        <v>19680000</v>
      </c>
      <c r="T31" s="43">
        <f>($B$3-$H$12)*H31+G11</f>
        <v>9528000</v>
      </c>
      <c r="U31" s="43">
        <f>($B$3-$I$12)*I31+G11</f>
        <v>-10757760</v>
      </c>
    </row>
    <row r="32">
      <c r="B32" s="18" t="s">
        <v>25</v>
      </c>
      <c r="C32" s="40"/>
      <c r="D32" s="40"/>
      <c r="E32" s="41"/>
      <c r="F32" s="41"/>
      <c r="G32" s="41"/>
      <c r="H32" s="41">
        <f>H7</f>
        <v>0.15</v>
      </c>
      <c r="I32" s="41">
        <f>H32*(1-I7)</f>
        <v>0.132</v>
      </c>
      <c r="J32" s="6"/>
      <c r="K32" s="42"/>
      <c r="L32" s="42"/>
      <c r="M32" s="42"/>
      <c r="N32" s="42">
        <f t="shared" ref="N32:O32" si="33">H32*H$9</f>
        <v>34500000</v>
      </c>
      <c r="O32" s="42">
        <f t="shared" si="33"/>
        <v>88704000</v>
      </c>
      <c r="T32" s="43">
        <f>(($B$3-$H$12)*H32)+H11</f>
        <v>50760000</v>
      </c>
      <c r="U32" s="43">
        <f>(($B$3-$I$12)*I32)+H11</f>
        <v>32860800</v>
      </c>
    </row>
    <row r="33">
      <c r="B33" s="18" t="s">
        <v>26</v>
      </c>
      <c r="C33" s="40"/>
      <c r="D33" s="40"/>
      <c r="E33" s="41"/>
      <c r="F33" s="41"/>
      <c r="G33" s="41"/>
      <c r="H33" s="41"/>
      <c r="I33" s="41">
        <f>I7</f>
        <v>0.12</v>
      </c>
      <c r="J33" s="6"/>
      <c r="K33" s="42"/>
      <c r="L33" s="42"/>
      <c r="M33" s="42"/>
      <c r="N33" s="42"/>
      <c r="O33" s="42">
        <f>I33*I$9</f>
        <v>80640000</v>
      </c>
      <c r="U33" s="43">
        <f>(($B$3-$I$12)*I33)+I11</f>
        <v>119328000</v>
      </c>
    </row>
    <row r="34">
      <c r="B34" s="45" t="s">
        <v>39</v>
      </c>
      <c r="C34" s="46"/>
      <c r="D34" s="46">
        <f t="shared" ref="D34:F34" si="34">sum(D29:D31)</f>
        <v>0</v>
      </c>
      <c r="E34" s="46">
        <f t="shared" si="34"/>
        <v>0.25</v>
      </c>
      <c r="F34" s="46">
        <f t="shared" si="34"/>
        <v>0.4</v>
      </c>
      <c r="G34" s="46">
        <f t="shared" ref="G34:I34" si="35">sum(G29:G33)</f>
        <v>0.52</v>
      </c>
      <c r="H34" s="46">
        <f t="shared" si="35"/>
        <v>0.592</v>
      </c>
      <c r="I34" s="46">
        <f t="shared" si="35"/>
        <v>0.64096</v>
      </c>
      <c r="J34" s="47"/>
      <c r="K34" s="48">
        <f t="shared" ref="K34:M34" si="36">sum(K29:K31)</f>
        <v>2500000</v>
      </c>
      <c r="L34" s="48">
        <f t="shared" si="36"/>
        <v>9120000</v>
      </c>
      <c r="M34" s="48">
        <f t="shared" si="36"/>
        <v>31200000</v>
      </c>
      <c r="N34" s="48">
        <f t="shared" ref="N34:O34" si="37">sum(N29:N33)</f>
        <v>136160000</v>
      </c>
      <c r="O34" s="48">
        <f t="shared" si="37"/>
        <v>430725120</v>
      </c>
      <c r="P34" s="4"/>
      <c r="Q34" s="54">
        <f t="shared" ref="Q34:S34" si="38">SUM(Q29:Q31)</f>
        <v>10500000</v>
      </c>
      <c r="R34" s="54">
        <f t="shared" si="38"/>
        <v>18960000</v>
      </c>
      <c r="S34" s="54">
        <f t="shared" si="38"/>
        <v>30768000</v>
      </c>
      <c r="T34" s="54">
        <f t="shared" ref="T34:U34" si="39">SUM(T29:T33)</f>
        <v>55132800</v>
      </c>
      <c r="U34" s="54">
        <f t="shared" si="39"/>
        <v>103818624</v>
      </c>
    </row>
    <row r="35" outlineLevel="1">
      <c r="B35" s="16"/>
      <c r="C35" s="40"/>
      <c r="D35" s="40"/>
      <c r="E35" s="41"/>
      <c r="F35" s="41"/>
      <c r="G35" s="41"/>
      <c r="H35" s="41"/>
      <c r="I35" s="41"/>
      <c r="J35" s="6"/>
      <c r="K35" s="42"/>
      <c r="L35" s="42"/>
      <c r="M35" s="42"/>
      <c r="N35" s="42"/>
      <c r="O35" s="42"/>
      <c r="Q35" s="49">
        <f t="shared" ref="Q35:U35" si="40">Q34/$B$3</f>
        <v>0.35</v>
      </c>
      <c r="R35" s="49">
        <f t="shared" si="40"/>
        <v>0.632</v>
      </c>
      <c r="S35" s="49">
        <f t="shared" si="40"/>
        <v>1.0256</v>
      </c>
      <c r="T35" s="49">
        <f t="shared" si="40"/>
        <v>1.83776</v>
      </c>
      <c r="U35" s="49">
        <f t="shared" si="40"/>
        <v>3.4606208</v>
      </c>
    </row>
    <row r="36">
      <c r="B36" s="15"/>
      <c r="C36" s="40"/>
      <c r="D36" s="40"/>
      <c r="E36" s="41"/>
      <c r="F36" s="41"/>
      <c r="G36" s="41"/>
      <c r="H36" s="41"/>
      <c r="I36" s="41"/>
      <c r="J36" s="6"/>
      <c r="K36" s="42"/>
      <c r="L36" s="42"/>
      <c r="M36" s="42"/>
      <c r="N36" s="42"/>
      <c r="O36" s="42"/>
    </row>
    <row r="37">
      <c r="B37" s="55" t="s">
        <v>43</v>
      </c>
      <c r="C37" s="50"/>
      <c r="D37" s="50"/>
      <c r="E37" s="51"/>
      <c r="F37" s="51"/>
      <c r="G37" s="51"/>
      <c r="H37" s="51"/>
      <c r="I37" s="51"/>
      <c r="J37" s="24"/>
      <c r="K37" s="52"/>
      <c r="L37" s="52"/>
      <c r="M37" s="52"/>
      <c r="N37" s="52"/>
      <c r="O37" s="52"/>
      <c r="P37" s="25"/>
      <c r="Q37" s="25"/>
      <c r="R37" s="25"/>
      <c r="S37" s="25"/>
      <c r="T37" s="25"/>
      <c r="U37" s="25"/>
    </row>
    <row r="38">
      <c r="B38" s="6"/>
      <c r="C38" s="40"/>
      <c r="D38" s="40"/>
      <c r="E38" s="41"/>
      <c r="F38" s="41"/>
      <c r="G38" s="41"/>
      <c r="H38" s="41"/>
      <c r="I38" s="41"/>
      <c r="J38" s="6"/>
      <c r="K38" s="42"/>
      <c r="L38" s="42"/>
      <c r="M38" s="42"/>
      <c r="N38" s="42"/>
      <c r="O38" s="42"/>
    </row>
    <row r="39">
      <c r="B39" s="16"/>
      <c r="C39" s="40"/>
      <c r="D39" s="40"/>
      <c r="E39" s="41"/>
      <c r="F39" s="41"/>
      <c r="G39" s="41"/>
      <c r="H39" s="41"/>
      <c r="I39" s="41"/>
      <c r="J39" s="6"/>
      <c r="K39" s="42"/>
      <c r="L39" s="42"/>
      <c r="M39" s="42"/>
      <c r="N39" s="42"/>
      <c r="O39" s="42"/>
      <c r="Q39" s="49">
        <f t="shared" ref="Q39:U39" si="41">Q38/$B$3</f>
        <v>0</v>
      </c>
      <c r="R39" s="49">
        <f t="shared" si="41"/>
        <v>0</v>
      </c>
      <c r="S39" s="49">
        <f t="shared" si="41"/>
        <v>0</v>
      </c>
      <c r="T39" s="49">
        <f t="shared" si="41"/>
        <v>0</v>
      </c>
      <c r="U39" s="49">
        <f t="shared" si="41"/>
        <v>0</v>
      </c>
    </row>
    <row r="40">
      <c r="B40" s="16"/>
      <c r="C40" s="56"/>
      <c r="D40" s="56"/>
      <c r="E40" s="56"/>
      <c r="F40" s="56"/>
      <c r="G40" s="56"/>
      <c r="H40" s="56"/>
      <c r="I40" s="56"/>
      <c r="J40" s="6"/>
      <c r="K40" s="57"/>
      <c r="L40" s="57"/>
      <c r="M40" s="57"/>
      <c r="N40" s="57"/>
      <c r="O40" s="57"/>
      <c r="Q40" s="57"/>
      <c r="R40" s="57"/>
      <c r="S40" s="57"/>
      <c r="T40" s="57"/>
      <c r="U40" s="57"/>
    </row>
    <row r="41" collapsed="1">
      <c r="B41" s="58" t="s">
        <v>39</v>
      </c>
      <c r="C41" s="59"/>
      <c r="D41" s="59">
        <f t="shared" ref="D41:I41" si="42">sum(D21,D25,D34,D38)</f>
        <v>1</v>
      </c>
      <c r="E41" s="59">
        <f t="shared" si="42"/>
        <v>1</v>
      </c>
      <c r="F41" s="59">
        <f t="shared" si="42"/>
        <v>1</v>
      </c>
      <c r="G41" s="59">
        <f t="shared" si="42"/>
        <v>1</v>
      </c>
      <c r="H41" s="59">
        <f t="shared" si="42"/>
        <v>1</v>
      </c>
      <c r="I41" s="59">
        <f t="shared" si="42"/>
        <v>1</v>
      </c>
      <c r="J41" s="60"/>
      <c r="K41" s="61">
        <f t="shared" ref="K41:O41" si="43">sum(K21,K25,K34,K38)</f>
        <v>10000000</v>
      </c>
      <c r="L41" s="61">
        <f t="shared" si="43"/>
        <v>22800000</v>
      </c>
      <c r="M41" s="61">
        <f t="shared" si="43"/>
        <v>60000000</v>
      </c>
      <c r="N41" s="61">
        <f t="shared" si="43"/>
        <v>230000000</v>
      </c>
      <c r="O41" s="61">
        <f t="shared" si="43"/>
        <v>672000000</v>
      </c>
      <c r="P41" s="62"/>
      <c r="Q41" s="61">
        <f t="shared" ref="Q41:U41" si="44">sum(Q21,Q25,Q34,Q38)</f>
        <v>30000000</v>
      </c>
      <c r="R41" s="61">
        <f t="shared" si="44"/>
        <v>30000000</v>
      </c>
      <c r="S41" s="61">
        <f t="shared" si="44"/>
        <v>30000000</v>
      </c>
      <c r="T41" s="61">
        <f t="shared" si="44"/>
        <v>30000000</v>
      </c>
      <c r="U41" s="61">
        <f t="shared" si="44"/>
        <v>30000000</v>
      </c>
    </row>
    <row r="42" hidden="1" outlineLevel="1">
      <c r="A42" s="63"/>
      <c r="B42" s="64" t="s">
        <v>44</v>
      </c>
      <c r="C42" s="65"/>
      <c r="D42" s="65"/>
      <c r="E42" s="66"/>
      <c r="F42" s="66"/>
      <c r="G42" s="66"/>
      <c r="H42" s="66"/>
      <c r="I42" s="66"/>
      <c r="J42" s="67"/>
      <c r="K42" s="66">
        <f t="shared" ref="K42:M42" si="45">(K41-E9)/E9</f>
        <v>0</v>
      </c>
      <c r="L42" s="66">
        <f t="shared" si="45"/>
        <v>0</v>
      </c>
      <c r="M42" s="66">
        <f t="shared" si="45"/>
        <v>0</v>
      </c>
      <c r="N42" s="66"/>
      <c r="O42" s="66"/>
      <c r="P42" s="63"/>
      <c r="Q42" s="66">
        <f t="shared" ref="Q42:S42" si="46">(Q41-$B$3)/$B$3</f>
        <v>0</v>
      </c>
      <c r="R42" s="66">
        <f t="shared" si="46"/>
        <v>0</v>
      </c>
      <c r="S42" s="66">
        <f t="shared" si="46"/>
        <v>0</v>
      </c>
      <c r="T42" s="66"/>
      <c r="U42" s="66"/>
      <c r="V42" s="63"/>
      <c r="W42" s="63"/>
      <c r="X42" s="63"/>
      <c r="Y42" s="63"/>
      <c r="Z42" s="63"/>
      <c r="AA42" s="63"/>
      <c r="AB42" s="63"/>
    </row>
    <row r="43">
      <c r="B43" s="16"/>
      <c r="C43" s="40"/>
      <c r="D43" s="40"/>
      <c r="E43" s="41"/>
      <c r="F43" s="41"/>
      <c r="G43" s="41"/>
      <c r="H43" s="41"/>
      <c r="I43" s="41"/>
      <c r="J43" s="6"/>
      <c r="K43" s="32"/>
      <c r="L43" s="32"/>
      <c r="M43" s="32"/>
      <c r="N43" s="32"/>
      <c r="O43" s="32"/>
    </row>
    <row r="44">
      <c r="B44" s="16"/>
      <c r="C44" s="40"/>
      <c r="D44" s="40"/>
      <c r="E44" s="41"/>
      <c r="F44" s="41"/>
      <c r="G44" s="41"/>
      <c r="H44" s="41"/>
      <c r="I44" s="41"/>
      <c r="J44" s="6"/>
      <c r="K44" s="32"/>
      <c r="L44" s="32"/>
      <c r="M44" s="32"/>
      <c r="N44" s="32"/>
      <c r="O44" s="32"/>
    </row>
    <row r="45">
      <c r="B45" s="6"/>
      <c r="C45" s="6"/>
      <c r="D45" s="6"/>
      <c r="E45" s="6"/>
      <c r="F45" s="68"/>
      <c r="G45" s="6"/>
      <c r="H45" s="6"/>
      <c r="I45" s="6"/>
      <c r="J45" s="6"/>
      <c r="K45" s="6"/>
      <c r="L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>
      <c r="B47" s="6"/>
      <c r="C47" s="41"/>
      <c r="D47" s="41"/>
      <c r="E47" s="41"/>
      <c r="F47" s="41"/>
      <c r="G47" s="6"/>
      <c r="H47" s="6"/>
      <c r="I47" s="6"/>
      <c r="J47" s="6"/>
      <c r="K47" s="6"/>
      <c r="L47" s="32"/>
    </row>
  </sheetData>
  <drawing r:id="rId4"/>
  <legacyDrawing r:id="rId5"/>
</worksheet>
</file>